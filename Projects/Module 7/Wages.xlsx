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<sst xmlns="http://schemas.openxmlformats.org/spreadsheetml/2006/main" count="34" uniqueCount="34">
  <si>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Emp ID</t>
  </si>
  <si>
    <t>First Name</t>
  </si>
  <si>
    <t>Last Name</t>
  </si>
  <si>
    <t>Hourly Rate</t>
  </si>
  <si>
    <t>Reg Hrs.</t>
  </si>
  <si>
    <t>Reg Pay</t>
  </si>
  <si>
    <t>Overtime Hrs.</t>
  </si>
  <si>
    <t>Overtime pay</t>
  </si>
  <si>
    <t>Number of Dependents</t>
  </si>
  <si>
    <t>Dependent Deductions</t>
  </si>
  <si>
    <t>Taxable Income</t>
  </si>
  <si>
    <t>State Tax Amt</t>
  </si>
  <si>
    <t>Fed Tax Amt</t>
  </si>
  <si>
    <t>Net pay</t>
  </si>
  <si>
    <t>Liam</t>
  </si>
  <si>
    <t>Smith</t>
  </si>
  <si>
    <t>Olivia</t>
  </si>
  <si>
    <t>Johnson</t>
  </si>
  <si>
    <t>Noah</t>
  </si>
  <si>
    <t>Williams</t>
  </si>
  <si>
    <t>Emma</t>
  </si>
  <si>
    <t>Brown</t>
  </si>
  <si>
    <t>James</t>
  </si>
  <si>
    <t>Jones</t>
  </si>
  <si>
    <t>Sophia</t>
  </si>
  <si>
    <t>Garcia</t>
  </si>
  <si>
    <t>Elijah</t>
  </si>
  <si>
    <t>Miller</t>
  </si>
  <si>
    <t>Isabella</t>
  </si>
  <si>
    <t>Davis</t>
  </si>
  <si>
    <t>Lucas</t>
  </si>
  <si>
    <t>Rodriguez</t>
  </si>
  <si>
    <t>Mia</t>
  </si>
  <si>
    <t>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</si>
</sst>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right"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2.38"/>
    <col customWidth="1" min="3" max="3" width="12.5"/>
    <col customWidth="1" min="4" max="4" width="13.0"/>
    <col customWidth="1" min="5" max="5" width="8.88"/>
    <col customWidth="1" min="6" max="6" width="11.88"/>
    <col customWidth="1" min="7" max="7" width="13.38"/>
    <col customWidth="1" min="8" max="8" width="12.88"/>
    <col customWidth="1" min="9" max="9" width="21.63"/>
    <col customWidth="1" min="10" max="10" width="21.38"/>
    <col customWidth="1" min="11" max="11" width="15.75"/>
    <col customWidth="1" min="12" max="12" width="14.38"/>
    <col customWidth="1" min="13" max="13" width="13.88"/>
    <col customWidth="1" min="14" max="14" width="12.25"/>
    <col customWidth="1" min="15" max="2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1001.0</v>
      </c>
      <c r="B2" s="1" t="s">
        <v>14</v>
      </c>
      <c r="C2" s="1" t="s">
        <v>15</v>
      </c>
      <c r="D2" s="3">
        <v>25.0</v>
      </c>
      <c r="E2" s="2">
        <v>40.0</v>
      </c>
      <c r="F2" s="4">
        <f t="shared" ref="F2:F11" si="1">E2*D2</f>
        <v>1000</v>
      </c>
      <c r="G2" s="2">
        <v>0.0</v>
      </c>
      <c r="H2" s="4">
        <f t="shared" ref="H2:H11" si="2">G2*D2*1.5</f>
        <v>0</v>
      </c>
      <c r="I2" s="2">
        <v>1.0</v>
      </c>
      <c r="J2" s="1">
        <f t="shared" ref="J2:J11" si="3">38.46*I2</f>
        <v>38.46</v>
      </c>
      <c r="K2" s="4">
        <f t="shared" ref="K2:K11" si="4">F2+H2-J2</f>
        <v>961.54</v>
      </c>
      <c r="L2" s="4">
        <f t="shared" ref="L2:L11" si="5">K2*(5.6/100)</f>
        <v>53.84624</v>
      </c>
      <c r="M2" s="4">
        <f t="shared" ref="M2:M11" si="6">K2*(7.9/100)</f>
        <v>75.96166</v>
      </c>
      <c r="N2" s="4">
        <f t="shared" ref="N2:N11" si="7">K2-L2-M2</f>
        <v>831.7321</v>
      </c>
    </row>
    <row r="3">
      <c r="A3" s="2">
        <v>1002.0</v>
      </c>
      <c r="B3" s="1" t="s">
        <v>16</v>
      </c>
      <c r="C3" s="1" t="s">
        <v>17</v>
      </c>
      <c r="D3" s="3">
        <v>30.0</v>
      </c>
      <c r="E3" s="2">
        <v>40.0</v>
      </c>
      <c r="F3" s="4">
        <f t="shared" si="1"/>
        <v>1200</v>
      </c>
      <c r="G3" s="2">
        <v>5.0</v>
      </c>
      <c r="H3" s="4">
        <f t="shared" si="2"/>
        <v>225</v>
      </c>
      <c r="I3" s="2">
        <v>1.0</v>
      </c>
      <c r="J3" s="1">
        <f t="shared" si="3"/>
        <v>38.46</v>
      </c>
      <c r="K3" s="4">
        <f t="shared" si="4"/>
        <v>1386.54</v>
      </c>
      <c r="L3" s="4">
        <f t="shared" si="5"/>
        <v>77.64624</v>
      </c>
      <c r="M3" s="4">
        <f t="shared" si="6"/>
        <v>109.53666</v>
      </c>
      <c r="N3" s="4">
        <f t="shared" si="7"/>
        <v>1199.3571</v>
      </c>
    </row>
    <row r="4">
      <c r="A4" s="2">
        <v>1003.0</v>
      </c>
      <c r="B4" s="1" t="s">
        <v>18</v>
      </c>
      <c r="C4" s="1" t="s">
        <v>19</v>
      </c>
      <c r="D4" s="3">
        <v>22.5</v>
      </c>
      <c r="E4" s="2">
        <v>40.0</v>
      </c>
      <c r="F4" s="4">
        <f t="shared" si="1"/>
        <v>900</v>
      </c>
      <c r="G4" s="2">
        <v>8.0</v>
      </c>
      <c r="H4" s="4">
        <f t="shared" si="2"/>
        <v>270</v>
      </c>
      <c r="I4" s="2">
        <v>2.0</v>
      </c>
      <c r="J4" s="1">
        <f t="shared" si="3"/>
        <v>76.92</v>
      </c>
      <c r="K4" s="4">
        <f t="shared" si="4"/>
        <v>1093.08</v>
      </c>
      <c r="L4" s="4">
        <f t="shared" si="5"/>
        <v>61.21248</v>
      </c>
      <c r="M4" s="4">
        <f t="shared" si="6"/>
        <v>86.35332</v>
      </c>
      <c r="N4" s="4">
        <f t="shared" si="7"/>
        <v>945.5142</v>
      </c>
    </row>
    <row r="5">
      <c r="A5" s="2">
        <v>1004.0</v>
      </c>
      <c r="B5" s="1" t="s">
        <v>20</v>
      </c>
      <c r="C5" s="1" t="s">
        <v>21</v>
      </c>
      <c r="D5" s="3">
        <v>28.0</v>
      </c>
      <c r="E5" s="2">
        <v>36.0</v>
      </c>
      <c r="F5" s="4">
        <f t="shared" si="1"/>
        <v>1008</v>
      </c>
      <c r="G5" s="2">
        <v>0.0</v>
      </c>
      <c r="H5" s="4">
        <f t="shared" si="2"/>
        <v>0</v>
      </c>
      <c r="I5" s="2">
        <v>0.0</v>
      </c>
      <c r="J5" s="1">
        <f t="shared" si="3"/>
        <v>0</v>
      </c>
      <c r="K5" s="4">
        <f t="shared" si="4"/>
        <v>1008</v>
      </c>
      <c r="L5" s="4">
        <f t="shared" si="5"/>
        <v>56.448</v>
      </c>
      <c r="M5" s="4">
        <f t="shared" si="6"/>
        <v>79.632</v>
      </c>
      <c r="N5" s="4">
        <f t="shared" si="7"/>
        <v>871.92</v>
      </c>
    </row>
    <row r="6">
      <c r="A6" s="2">
        <v>1005.0</v>
      </c>
      <c r="B6" s="1" t="s">
        <v>22</v>
      </c>
      <c r="C6" s="1" t="s">
        <v>23</v>
      </c>
      <c r="D6" s="3">
        <v>35.0</v>
      </c>
      <c r="E6" s="2">
        <v>40.0</v>
      </c>
      <c r="F6" s="4">
        <f t="shared" si="1"/>
        <v>1400</v>
      </c>
      <c r="G6" s="2">
        <v>0.0</v>
      </c>
      <c r="H6" s="4">
        <f t="shared" si="2"/>
        <v>0</v>
      </c>
      <c r="I6" s="2">
        <v>0.0</v>
      </c>
      <c r="J6" s="1">
        <f t="shared" si="3"/>
        <v>0</v>
      </c>
      <c r="K6" s="4">
        <f t="shared" si="4"/>
        <v>1400</v>
      </c>
      <c r="L6" s="4">
        <f t="shared" si="5"/>
        <v>78.4</v>
      </c>
      <c r="M6" s="4">
        <f t="shared" si="6"/>
        <v>110.6</v>
      </c>
      <c r="N6" s="4">
        <f t="shared" si="7"/>
        <v>1211</v>
      </c>
    </row>
    <row r="7">
      <c r="A7" s="2">
        <v>1006.0</v>
      </c>
      <c r="B7" s="1" t="s">
        <v>24</v>
      </c>
      <c r="C7" s="1" t="s">
        <v>25</v>
      </c>
      <c r="D7" s="3">
        <v>20.0</v>
      </c>
      <c r="E7" s="2">
        <v>40.0</v>
      </c>
      <c r="F7" s="4">
        <f t="shared" si="1"/>
        <v>800</v>
      </c>
      <c r="G7" s="2">
        <v>8.0</v>
      </c>
      <c r="H7" s="4">
        <f t="shared" si="2"/>
        <v>240</v>
      </c>
      <c r="I7" s="2">
        <v>3.0</v>
      </c>
      <c r="J7" s="1">
        <f t="shared" si="3"/>
        <v>115.38</v>
      </c>
      <c r="K7" s="4">
        <f t="shared" si="4"/>
        <v>924.62</v>
      </c>
      <c r="L7" s="4">
        <f t="shared" si="5"/>
        <v>51.77872</v>
      </c>
      <c r="M7" s="4">
        <f t="shared" si="6"/>
        <v>73.04498</v>
      </c>
      <c r="N7" s="4">
        <f t="shared" si="7"/>
        <v>799.7963</v>
      </c>
    </row>
    <row r="8">
      <c r="A8" s="2">
        <v>1007.0</v>
      </c>
      <c r="B8" s="1" t="s">
        <v>26</v>
      </c>
      <c r="C8" s="1" t="s">
        <v>27</v>
      </c>
      <c r="D8" s="3">
        <v>24.0</v>
      </c>
      <c r="E8" s="2">
        <v>40.0</v>
      </c>
      <c r="F8" s="4">
        <f t="shared" si="1"/>
        <v>960</v>
      </c>
      <c r="G8" s="2">
        <v>6.0</v>
      </c>
      <c r="H8" s="4">
        <f t="shared" si="2"/>
        <v>216</v>
      </c>
      <c r="I8" s="2">
        <v>1.0</v>
      </c>
      <c r="J8" s="1">
        <f t="shared" si="3"/>
        <v>38.46</v>
      </c>
      <c r="K8" s="4">
        <f t="shared" si="4"/>
        <v>1137.54</v>
      </c>
      <c r="L8" s="4">
        <f t="shared" si="5"/>
        <v>63.70224</v>
      </c>
      <c r="M8" s="4">
        <f t="shared" si="6"/>
        <v>89.86566</v>
      </c>
      <c r="N8" s="4">
        <f t="shared" si="7"/>
        <v>983.9721</v>
      </c>
    </row>
    <row r="9">
      <c r="A9" s="2">
        <v>1008.0</v>
      </c>
      <c r="B9" s="1" t="s">
        <v>28</v>
      </c>
      <c r="C9" s="1" t="s">
        <v>29</v>
      </c>
      <c r="D9" s="3">
        <v>27.5</v>
      </c>
      <c r="E9" s="2">
        <v>40.0</v>
      </c>
      <c r="F9" s="4">
        <f t="shared" si="1"/>
        <v>1100</v>
      </c>
      <c r="G9" s="2">
        <v>4.0</v>
      </c>
      <c r="H9" s="4">
        <f t="shared" si="2"/>
        <v>165</v>
      </c>
      <c r="I9" s="2">
        <v>2.0</v>
      </c>
      <c r="J9" s="1">
        <f t="shared" si="3"/>
        <v>76.92</v>
      </c>
      <c r="K9" s="4">
        <f t="shared" si="4"/>
        <v>1188.08</v>
      </c>
      <c r="L9" s="4">
        <f t="shared" si="5"/>
        <v>66.53248</v>
      </c>
      <c r="M9" s="4">
        <f t="shared" si="6"/>
        <v>93.85832</v>
      </c>
      <c r="N9" s="4">
        <f t="shared" si="7"/>
        <v>1027.6892</v>
      </c>
    </row>
    <row r="10">
      <c r="A10" s="2">
        <v>1009.0</v>
      </c>
      <c r="B10" s="1" t="s">
        <v>30</v>
      </c>
      <c r="C10" s="1" t="s">
        <v>31</v>
      </c>
      <c r="D10" s="3">
        <v>19.0</v>
      </c>
      <c r="E10" s="2">
        <v>35.0</v>
      </c>
      <c r="F10" s="4">
        <f t="shared" si="1"/>
        <v>665</v>
      </c>
      <c r="G10" s="2">
        <v>0.0</v>
      </c>
      <c r="H10" s="4">
        <f t="shared" si="2"/>
        <v>0</v>
      </c>
      <c r="I10" s="2">
        <v>0.0</v>
      </c>
      <c r="J10" s="1">
        <f t="shared" si="3"/>
        <v>0</v>
      </c>
      <c r="K10" s="4">
        <f t="shared" si="4"/>
        <v>665</v>
      </c>
      <c r="L10" s="4">
        <f t="shared" si="5"/>
        <v>37.24</v>
      </c>
      <c r="M10" s="4">
        <f t="shared" si="6"/>
        <v>52.535</v>
      </c>
      <c r="N10" s="4">
        <f t="shared" si="7"/>
        <v>575.225</v>
      </c>
    </row>
    <row r="11">
      <c r="A11" s="2">
        <v>1010.0</v>
      </c>
      <c r="B11" s="1" t="s">
        <v>32</v>
      </c>
      <c r="C11" s="1" t="s">
        <v>33</v>
      </c>
      <c r="D11" s="3">
        <v>32.0</v>
      </c>
      <c r="E11" s="2">
        <v>40.0</v>
      </c>
      <c r="F11" s="4">
        <f t="shared" si="1"/>
        <v>1280</v>
      </c>
      <c r="G11" s="2">
        <v>10.0</v>
      </c>
      <c r="H11" s="4">
        <f t="shared" si="2"/>
        <v>480</v>
      </c>
      <c r="I11" s="2">
        <v>4.0</v>
      </c>
      <c r="J11" s="1">
        <f t="shared" si="3"/>
        <v>153.84</v>
      </c>
      <c r="K11" s="4">
        <f t="shared" si="4"/>
        <v>1606.16</v>
      </c>
      <c r="L11" s="4">
        <f t="shared" si="5"/>
        <v>89.94496</v>
      </c>
      <c r="M11" s="4">
        <f t="shared" si="6"/>
        <v>126.88664</v>
      </c>
      <c r="N11" s="4">
        <f t="shared" si="7"/>
        <v>1389.3284</v>
      </c>
    </row>
  </sheetData>
  <drawing r:id="rId1"/>
</worksheet>
</file>